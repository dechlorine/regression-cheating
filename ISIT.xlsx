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MI\OneDrive\Рабочий стол\"/>
    </mc:Choice>
  </mc:AlternateContent>
  <xr:revisionPtr revIDLastSave="0" documentId="13_ncr:1_{B0B1951B-7321-4AEA-B739-407061EAE53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H3" i="1"/>
  <c r="G4" i="1"/>
  <c r="H4" i="1"/>
  <c r="G5" i="1"/>
  <c r="H5" i="1"/>
  <c r="G6" i="1"/>
  <c r="H6" i="1"/>
  <c r="G7" i="1"/>
  <c r="H7" i="1"/>
  <c r="G8" i="1"/>
  <c r="H8" i="1"/>
  <c r="G9" i="1"/>
  <c r="H9" i="1"/>
  <c r="G10" i="1"/>
  <c r="H10" i="1"/>
  <c r="G11" i="1"/>
  <c r="H11" i="1"/>
  <c r="G12" i="1"/>
  <c r="H12" i="1"/>
  <c r="G13" i="1"/>
  <c r="H13" i="1"/>
  <c r="G14" i="1"/>
  <c r="H14" i="1"/>
  <c r="G15" i="1"/>
  <c r="H15" i="1"/>
  <c r="G16" i="1"/>
  <c r="H16" i="1"/>
  <c r="G17" i="1"/>
  <c r="H17" i="1"/>
  <c r="G18" i="1"/>
  <c r="H18" i="1"/>
  <c r="G19" i="1"/>
  <c r="H19" i="1"/>
  <c r="G20" i="1"/>
  <c r="H20" i="1"/>
  <c r="G21" i="1"/>
  <c r="H21" i="1"/>
  <c r="G22" i="1"/>
  <c r="H22" i="1"/>
  <c r="G23" i="1"/>
  <c r="H23" i="1"/>
  <c r="G24" i="1"/>
  <c r="H24" i="1"/>
  <c r="G25" i="1"/>
  <c r="H25" i="1"/>
  <c r="G26" i="1"/>
  <c r="H26" i="1"/>
  <c r="G27" i="1"/>
  <c r="H27" i="1"/>
  <c r="G28" i="1"/>
  <c r="H28" i="1"/>
  <c r="G29" i="1"/>
  <c r="H29" i="1"/>
  <c r="G30" i="1"/>
  <c r="H30" i="1"/>
  <c r="G31" i="1"/>
  <c r="H31" i="1"/>
  <c r="G32" i="1"/>
  <c r="H32" i="1"/>
  <c r="G33" i="1"/>
  <c r="H33" i="1"/>
  <c r="G34" i="1"/>
  <c r="H34" i="1"/>
  <c r="G35" i="1"/>
  <c r="H35" i="1"/>
  <c r="G36" i="1"/>
  <c r="H36" i="1"/>
  <c r="G37" i="1"/>
  <c r="H37" i="1"/>
  <c r="G38" i="1"/>
  <c r="H38" i="1"/>
  <c r="G39" i="1"/>
  <c r="H39" i="1"/>
  <c r="G40" i="1"/>
  <c r="H40" i="1"/>
  <c r="G41" i="1"/>
  <c r="H41" i="1"/>
  <c r="G42" i="1"/>
  <c r="H42" i="1"/>
  <c r="G43" i="1"/>
  <c r="H43" i="1"/>
  <c r="G44" i="1"/>
  <c r="H44" i="1"/>
  <c r="G45" i="1"/>
  <c r="H45" i="1"/>
  <c r="G46" i="1"/>
  <c r="H46" i="1"/>
  <c r="G47" i="1"/>
  <c r="H47" i="1"/>
  <c r="G48" i="1"/>
  <c r="H48" i="1"/>
  <c r="G49" i="1"/>
  <c r="H49" i="1"/>
  <c r="G50" i="1"/>
  <c r="H50" i="1"/>
  <c r="G51" i="1"/>
  <c r="H51" i="1"/>
  <c r="G52" i="1"/>
  <c r="H52" i="1"/>
  <c r="G53" i="1"/>
  <c r="H53" i="1"/>
  <c r="G54" i="1"/>
  <c r="H54" i="1"/>
  <c r="G55" i="1"/>
  <c r="H55" i="1"/>
  <c r="G56" i="1"/>
  <c r="H56" i="1"/>
  <c r="G57" i="1"/>
  <c r="H57" i="1"/>
  <c r="G58" i="1"/>
  <c r="H58" i="1"/>
  <c r="H2" i="1"/>
  <c r="G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2" i="1"/>
  <c r="D3" i="1"/>
  <c r="E3" i="1"/>
  <c r="D4" i="1"/>
  <c r="E4" i="1"/>
  <c r="D5" i="1"/>
  <c r="E5" i="1"/>
  <c r="D6" i="1"/>
  <c r="E6" i="1"/>
  <c r="D7" i="1"/>
  <c r="E7" i="1"/>
  <c r="D8" i="1"/>
  <c r="E8" i="1"/>
  <c r="D9" i="1"/>
  <c r="E9" i="1"/>
  <c r="D10" i="1"/>
  <c r="E10" i="1"/>
  <c r="D11" i="1"/>
  <c r="E11" i="1"/>
  <c r="D12" i="1"/>
  <c r="E12" i="1"/>
  <c r="D13" i="1"/>
  <c r="E13" i="1"/>
  <c r="D14" i="1"/>
  <c r="E14" i="1"/>
  <c r="D15" i="1"/>
  <c r="E15" i="1"/>
  <c r="D16" i="1"/>
  <c r="E16" i="1"/>
  <c r="D17" i="1"/>
  <c r="E17" i="1"/>
  <c r="D18" i="1"/>
  <c r="E18" i="1"/>
  <c r="D19" i="1"/>
  <c r="E19" i="1"/>
  <c r="D20" i="1"/>
  <c r="E20" i="1"/>
  <c r="D21" i="1"/>
  <c r="E21" i="1"/>
  <c r="D22" i="1"/>
  <c r="E22" i="1"/>
  <c r="D23" i="1"/>
  <c r="E23" i="1"/>
  <c r="D24" i="1"/>
  <c r="E24" i="1"/>
  <c r="D25" i="1"/>
  <c r="E25" i="1"/>
  <c r="D26" i="1"/>
  <c r="E26" i="1"/>
  <c r="D27" i="1"/>
  <c r="E27" i="1"/>
  <c r="D28" i="1"/>
  <c r="E28" i="1"/>
  <c r="D29" i="1"/>
  <c r="E29" i="1"/>
  <c r="D30" i="1"/>
  <c r="E30" i="1"/>
  <c r="D31" i="1"/>
  <c r="E31" i="1"/>
  <c r="D32" i="1"/>
  <c r="E32" i="1"/>
  <c r="D33" i="1"/>
  <c r="E33" i="1"/>
  <c r="D34" i="1"/>
  <c r="E34" i="1"/>
  <c r="D35" i="1"/>
  <c r="E35" i="1"/>
  <c r="D36" i="1"/>
  <c r="E36" i="1"/>
  <c r="D37" i="1"/>
  <c r="E37" i="1"/>
  <c r="D38" i="1"/>
  <c r="E38" i="1"/>
  <c r="D39" i="1"/>
  <c r="E39" i="1"/>
  <c r="D40" i="1"/>
  <c r="E40" i="1"/>
  <c r="D41" i="1"/>
  <c r="E41" i="1"/>
  <c r="D42" i="1"/>
  <c r="E42" i="1"/>
  <c r="D43" i="1"/>
  <c r="E43" i="1"/>
  <c r="D44" i="1"/>
  <c r="E44" i="1"/>
  <c r="D45" i="1"/>
  <c r="E45" i="1"/>
  <c r="D46" i="1"/>
  <c r="E46" i="1"/>
  <c r="D47" i="1"/>
  <c r="E47" i="1"/>
  <c r="D48" i="1"/>
  <c r="E48" i="1"/>
  <c r="D49" i="1"/>
  <c r="E49" i="1"/>
  <c r="D50" i="1"/>
  <c r="E50" i="1"/>
  <c r="D51" i="1"/>
  <c r="E51" i="1"/>
  <c r="D52" i="1"/>
  <c r="E52" i="1"/>
  <c r="D53" i="1"/>
  <c r="E53" i="1"/>
  <c r="D54" i="1"/>
  <c r="E54" i="1"/>
  <c r="D55" i="1"/>
  <c r="E55" i="1"/>
  <c r="D56" i="1"/>
  <c r="E56" i="1"/>
  <c r="D57" i="1"/>
  <c r="E57" i="1"/>
  <c r="D58" i="1"/>
  <c r="E58" i="1"/>
  <c r="E2" i="1"/>
  <c r="D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2" i="1"/>
</calcChain>
</file>

<file path=xl/sharedStrings.xml><?xml version="1.0" encoding="utf-8"?>
<sst xmlns="http://schemas.openxmlformats.org/spreadsheetml/2006/main" count="302" uniqueCount="29">
  <si>
    <t>Оценка/10,00</t>
  </si>
  <si>
    <t>В. 1 /1,667</t>
  </si>
  <si>
    <t>В. 2 /3,333</t>
  </si>
  <si>
    <t>В. 3 /5,000</t>
  </si>
  <si>
    <t>ANS1</t>
  </si>
  <si>
    <t>ANS2</t>
  </si>
  <si>
    <t>ANS3</t>
  </si>
  <si>
    <t>0,00</t>
  </si>
  <si>
    <t>0,000</t>
  </si>
  <si>
    <t>1,67</t>
  </si>
  <si>
    <t>1,667</t>
  </si>
  <si>
    <t>-</t>
  </si>
  <si>
    <t>5,00</t>
  </si>
  <si>
    <t>3,333</t>
  </si>
  <si>
    <t>10,00</t>
  </si>
  <si>
    <t>5,000</t>
  </si>
  <si>
    <t>8,33</t>
  </si>
  <si>
    <t>3,33</t>
  </si>
  <si>
    <t>6,67</t>
  </si>
  <si>
    <t>id</t>
  </si>
  <si>
    <t>score</t>
  </si>
  <si>
    <t>score_q1</t>
  </si>
  <si>
    <t>score_q2</t>
  </si>
  <si>
    <t>score_q3</t>
  </si>
  <si>
    <t>time_q1</t>
  </si>
  <si>
    <t>time_q2</t>
  </si>
  <si>
    <t>time_q3</t>
  </si>
  <si>
    <t>attendance</t>
  </si>
  <si>
    <t>cheated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</si>
</sst>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8"/>
  <sheetViews>
    <sheetView tabSelected="1" workbookViewId="0">
      <selection activeCell="S9" sqref="S9"/>
    </sheetView>
  </sheetViews>
  <sheetFormatPr defaultRowHeight="14.4" x14ac:dyDescent="0.3"/>
  <sheetData>
    <row r="1" spans="1:17" x14ac:dyDescent="0.3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0</v>
      </c>
      <c r="J1" t="s">
        <v>1</v>
      </c>
      <c r="K1" t="s">
        <v>2</v>
      </c>
      <c r="L1" t="s">
        <v>3</v>
      </c>
      <c r="M1" t="s">
        <v>4</v>
      </c>
      <c r="N1" t="s">
        <v>5</v>
      </c>
      <c r="O1" t="s">
        <v>6</v>
      </c>
      <c r="P1" t="s">
        <v>27</v>
      </c>
      <c r="Q1" t="s">
        <v>28</v>
      </c>
    </row>
    <row r="2" spans="1:17" x14ac:dyDescent="0.3">
      <c r="A2">
        <v>1</v>
      </c>
      <c r="B2" t="s">
        <v>7</v>
      </c>
      <c r="C2">
        <f>IF(J2="1,667",1,0)</f>
        <v>0</v>
      </c>
      <c r="D2">
        <f>IF(K2="3,333",1,0)</f>
        <v>0</v>
      </c>
      <c r="E2">
        <f>IF(L2="5,000",1,0)</f>
        <v>0</v>
      </c>
      <c r="F2">
        <f>M2</f>
        <v>0</v>
      </c>
      <c r="G2">
        <f>MAX(N2-M2,0)</f>
        <v>0</v>
      </c>
      <c r="H2">
        <f>MAX(O2-N2, 0)</f>
        <v>0</v>
      </c>
      <c r="I2" t="s">
        <v>7</v>
      </c>
      <c r="J2" t="s">
        <v>8</v>
      </c>
      <c r="K2" t="s">
        <v>8</v>
      </c>
      <c r="L2" t="s">
        <v>8</v>
      </c>
      <c r="P2">
        <v>1</v>
      </c>
      <c r="Q2">
        <v>0</v>
      </c>
    </row>
    <row r="3" spans="1:17" x14ac:dyDescent="0.3">
      <c r="A3">
        <v>2</v>
      </c>
      <c r="B3" t="s">
        <v>9</v>
      </c>
      <c r="C3">
        <f t="shared" ref="C3:C58" si="0">IF(J3="1,667",1,0)</f>
        <v>1</v>
      </c>
      <c r="D3">
        <f t="shared" ref="D3:D58" si="1">IF(K3="3,333",1,0)</f>
        <v>0</v>
      </c>
      <c r="E3">
        <f t="shared" ref="E3:E58" si="2">IF(L3="5,000",1,0)</f>
        <v>0</v>
      </c>
      <c r="F3">
        <f t="shared" ref="F3:F58" si="3">M3</f>
        <v>7</v>
      </c>
      <c r="G3">
        <f t="shared" ref="G3:G58" si="4">MAX(N3-M3,0)</f>
        <v>0</v>
      </c>
      <c r="H3">
        <f t="shared" ref="H3:H58" si="5">MAX(O3-N3, 0)</f>
        <v>0</v>
      </c>
      <c r="I3" t="s">
        <v>9</v>
      </c>
      <c r="J3" t="s">
        <v>10</v>
      </c>
      <c r="K3" t="s">
        <v>8</v>
      </c>
      <c r="L3" t="s">
        <v>11</v>
      </c>
      <c r="M3">
        <v>7</v>
      </c>
      <c r="P3">
        <v>0</v>
      </c>
      <c r="Q3">
        <v>0</v>
      </c>
    </row>
    <row r="4" spans="1:17" x14ac:dyDescent="0.3">
      <c r="A4">
        <v>3</v>
      </c>
      <c r="B4" t="s">
        <v>9</v>
      </c>
      <c r="C4">
        <f t="shared" si="0"/>
        <v>1</v>
      </c>
      <c r="D4">
        <f t="shared" si="1"/>
        <v>0</v>
      </c>
      <c r="E4">
        <f t="shared" si="2"/>
        <v>0</v>
      </c>
      <c r="F4">
        <f t="shared" si="3"/>
        <v>6</v>
      </c>
      <c r="G4">
        <f t="shared" si="4"/>
        <v>0</v>
      </c>
      <c r="H4">
        <f t="shared" si="5"/>
        <v>0</v>
      </c>
      <c r="I4" t="s">
        <v>9</v>
      </c>
      <c r="J4" t="s">
        <v>10</v>
      </c>
      <c r="K4" t="s">
        <v>8</v>
      </c>
      <c r="L4" t="s">
        <v>11</v>
      </c>
      <c r="M4">
        <v>6</v>
      </c>
      <c r="P4">
        <v>1</v>
      </c>
      <c r="Q4">
        <v>0</v>
      </c>
    </row>
    <row r="5" spans="1:17" x14ac:dyDescent="0.3">
      <c r="A5">
        <v>4</v>
      </c>
      <c r="B5" t="s">
        <v>7</v>
      </c>
      <c r="C5">
        <f t="shared" si="0"/>
        <v>0</v>
      </c>
      <c r="D5">
        <f t="shared" si="1"/>
        <v>0</v>
      </c>
      <c r="E5">
        <f t="shared" si="2"/>
        <v>0</v>
      </c>
      <c r="F5">
        <f t="shared" si="3"/>
        <v>0</v>
      </c>
      <c r="G5">
        <f t="shared" si="4"/>
        <v>0</v>
      </c>
      <c r="H5">
        <f t="shared" si="5"/>
        <v>0</v>
      </c>
      <c r="I5" t="s">
        <v>7</v>
      </c>
      <c r="J5" t="s">
        <v>8</v>
      </c>
      <c r="K5" t="s">
        <v>8</v>
      </c>
      <c r="L5" t="s">
        <v>11</v>
      </c>
      <c r="P5">
        <v>1</v>
      </c>
      <c r="Q5">
        <v>0</v>
      </c>
    </row>
    <row r="6" spans="1:17" x14ac:dyDescent="0.3">
      <c r="A6">
        <v>5</v>
      </c>
      <c r="B6" t="s">
        <v>7</v>
      </c>
      <c r="C6">
        <f t="shared" si="0"/>
        <v>0</v>
      </c>
      <c r="D6">
        <f t="shared" si="1"/>
        <v>0</v>
      </c>
      <c r="E6">
        <f t="shared" si="2"/>
        <v>0</v>
      </c>
      <c r="F6">
        <f t="shared" si="3"/>
        <v>0</v>
      </c>
      <c r="G6">
        <f t="shared" si="4"/>
        <v>0</v>
      </c>
      <c r="H6">
        <f t="shared" si="5"/>
        <v>0</v>
      </c>
      <c r="I6" t="s">
        <v>7</v>
      </c>
      <c r="J6" t="s">
        <v>8</v>
      </c>
      <c r="K6" t="s">
        <v>8</v>
      </c>
      <c r="L6" t="s">
        <v>8</v>
      </c>
      <c r="P6">
        <v>1</v>
      </c>
      <c r="Q6">
        <v>0</v>
      </c>
    </row>
    <row r="7" spans="1:17" x14ac:dyDescent="0.3">
      <c r="A7" s="1">
        <v>6</v>
      </c>
      <c r="B7" s="1" t="s">
        <v>12</v>
      </c>
      <c r="C7" s="1">
        <f t="shared" si="0"/>
        <v>1</v>
      </c>
      <c r="D7" s="1">
        <f t="shared" si="1"/>
        <v>1</v>
      </c>
      <c r="E7" s="1">
        <f t="shared" si="2"/>
        <v>0</v>
      </c>
      <c r="F7" s="1">
        <f t="shared" si="3"/>
        <v>3</v>
      </c>
      <c r="G7" s="1">
        <f t="shared" si="4"/>
        <v>3</v>
      </c>
      <c r="H7" s="1">
        <f t="shared" si="5"/>
        <v>2</v>
      </c>
      <c r="I7" s="1" t="s">
        <v>12</v>
      </c>
      <c r="J7" s="1" t="s">
        <v>10</v>
      </c>
      <c r="K7" s="1" t="s">
        <v>13</v>
      </c>
      <c r="L7" s="1" t="s">
        <v>8</v>
      </c>
      <c r="M7" s="1">
        <v>3</v>
      </c>
      <c r="N7" s="1">
        <v>6</v>
      </c>
      <c r="O7" s="1">
        <v>8</v>
      </c>
      <c r="P7" s="1">
        <v>0</v>
      </c>
      <c r="Q7" s="1">
        <v>1</v>
      </c>
    </row>
    <row r="8" spans="1:17" x14ac:dyDescent="0.3">
      <c r="A8" s="1">
        <v>7</v>
      </c>
      <c r="B8" s="1" t="s">
        <v>14</v>
      </c>
      <c r="C8" s="1">
        <f t="shared" si="0"/>
        <v>1</v>
      </c>
      <c r="D8" s="1">
        <f t="shared" si="1"/>
        <v>1</v>
      </c>
      <c r="E8" s="1">
        <f t="shared" si="2"/>
        <v>1</v>
      </c>
      <c r="F8" s="1">
        <f t="shared" si="3"/>
        <v>2</v>
      </c>
      <c r="G8" s="1">
        <f t="shared" si="4"/>
        <v>4</v>
      </c>
      <c r="H8" s="1">
        <f t="shared" si="5"/>
        <v>7</v>
      </c>
      <c r="I8" s="1" t="s">
        <v>14</v>
      </c>
      <c r="J8" s="1" t="s">
        <v>10</v>
      </c>
      <c r="K8" s="1" t="s">
        <v>13</v>
      </c>
      <c r="L8" s="1" t="s">
        <v>15</v>
      </c>
      <c r="M8" s="1">
        <v>2</v>
      </c>
      <c r="N8" s="1">
        <v>6</v>
      </c>
      <c r="O8" s="1">
        <v>13</v>
      </c>
      <c r="P8" s="1">
        <v>1</v>
      </c>
      <c r="Q8" s="1">
        <v>1</v>
      </c>
    </row>
    <row r="9" spans="1:17" x14ac:dyDescent="0.3">
      <c r="A9" s="1">
        <v>8</v>
      </c>
      <c r="B9" s="1" t="s">
        <v>16</v>
      </c>
      <c r="C9" s="1">
        <f t="shared" si="0"/>
        <v>0</v>
      </c>
      <c r="D9" s="1">
        <f t="shared" si="1"/>
        <v>1</v>
      </c>
      <c r="E9" s="1">
        <f t="shared" si="2"/>
        <v>1</v>
      </c>
      <c r="F9" s="1">
        <f t="shared" si="3"/>
        <v>8</v>
      </c>
      <c r="G9" s="1">
        <f t="shared" si="4"/>
        <v>3</v>
      </c>
      <c r="H9" s="1">
        <f t="shared" si="5"/>
        <v>3</v>
      </c>
      <c r="I9" s="1" t="s">
        <v>16</v>
      </c>
      <c r="J9" s="1" t="s">
        <v>8</v>
      </c>
      <c r="K9" s="1" t="s">
        <v>13</v>
      </c>
      <c r="L9" s="1" t="s">
        <v>15</v>
      </c>
      <c r="M9" s="1">
        <v>8</v>
      </c>
      <c r="N9" s="1">
        <v>11</v>
      </c>
      <c r="O9" s="1">
        <v>14</v>
      </c>
      <c r="P9" s="1">
        <v>0</v>
      </c>
      <c r="Q9" s="1">
        <v>1</v>
      </c>
    </row>
    <row r="10" spans="1:17" x14ac:dyDescent="0.3">
      <c r="A10">
        <v>9</v>
      </c>
      <c r="B10" t="s">
        <v>7</v>
      </c>
      <c r="C10">
        <f t="shared" si="0"/>
        <v>0</v>
      </c>
      <c r="D10">
        <f t="shared" si="1"/>
        <v>0</v>
      </c>
      <c r="E10">
        <f t="shared" si="2"/>
        <v>0</v>
      </c>
      <c r="F10">
        <f t="shared" si="3"/>
        <v>0</v>
      </c>
      <c r="G10">
        <f t="shared" si="4"/>
        <v>0</v>
      </c>
      <c r="H10">
        <f t="shared" si="5"/>
        <v>0</v>
      </c>
      <c r="I10" t="s">
        <v>7</v>
      </c>
      <c r="J10" t="s">
        <v>8</v>
      </c>
      <c r="K10" t="s">
        <v>8</v>
      </c>
      <c r="L10" t="s">
        <v>8</v>
      </c>
      <c r="P10">
        <v>1</v>
      </c>
      <c r="Q10">
        <v>0</v>
      </c>
    </row>
    <row r="11" spans="1:17" x14ac:dyDescent="0.3">
      <c r="A11">
        <v>10</v>
      </c>
      <c r="B11" t="s">
        <v>17</v>
      </c>
      <c r="C11">
        <f t="shared" si="0"/>
        <v>0</v>
      </c>
      <c r="D11">
        <f t="shared" si="1"/>
        <v>1</v>
      </c>
      <c r="E11">
        <f t="shared" si="2"/>
        <v>0</v>
      </c>
      <c r="F11">
        <f t="shared" si="3"/>
        <v>13</v>
      </c>
      <c r="G11">
        <f t="shared" si="4"/>
        <v>8</v>
      </c>
      <c r="H11">
        <f t="shared" si="5"/>
        <v>0</v>
      </c>
      <c r="I11" t="s">
        <v>17</v>
      </c>
      <c r="J11" t="s">
        <v>8</v>
      </c>
      <c r="K11" t="s">
        <v>13</v>
      </c>
      <c r="L11" t="s">
        <v>11</v>
      </c>
      <c r="M11">
        <v>13</v>
      </c>
      <c r="N11">
        <v>21</v>
      </c>
      <c r="P11">
        <v>0</v>
      </c>
      <c r="Q11">
        <v>0</v>
      </c>
    </row>
    <row r="12" spans="1:17" x14ac:dyDescent="0.3">
      <c r="A12">
        <v>11</v>
      </c>
      <c r="B12" t="s">
        <v>14</v>
      </c>
      <c r="C12">
        <f t="shared" si="0"/>
        <v>1</v>
      </c>
      <c r="D12">
        <f t="shared" si="1"/>
        <v>1</v>
      </c>
      <c r="E12">
        <f t="shared" si="2"/>
        <v>1</v>
      </c>
      <c r="F12">
        <f t="shared" si="3"/>
        <v>6</v>
      </c>
      <c r="G12">
        <f t="shared" si="4"/>
        <v>9</v>
      </c>
      <c r="H12">
        <f t="shared" si="5"/>
        <v>8</v>
      </c>
      <c r="I12" t="s">
        <v>14</v>
      </c>
      <c r="J12" t="s">
        <v>10</v>
      </c>
      <c r="K12" t="s">
        <v>13</v>
      </c>
      <c r="L12" t="s">
        <v>15</v>
      </c>
      <c r="M12">
        <v>6</v>
      </c>
      <c r="N12">
        <v>15</v>
      </c>
      <c r="O12">
        <v>23</v>
      </c>
      <c r="P12">
        <v>0</v>
      </c>
      <c r="Q12">
        <v>0</v>
      </c>
    </row>
    <row r="13" spans="1:17" x14ac:dyDescent="0.3">
      <c r="A13">
        <v>12</v>
      </c>
      <c r="B13" t="s">
        <v>9</v>
      </c>
      <c r="C13">
        <f t="shared" si="0"/>
        <v>1</v>
      </c>
      <c r="D13">
        <f t="shared" si="1"/>
        <v>0</v>
      </c>
      <c r="E13">
        <f t="shared" si="2"/>
        <v>0</v>
      </c>
      <c r="F13">
        <f t="shared" si="3"/>
        <v>8</v>
      </c>
      <c r="G13">
        <f t="shared" si="4"/>
        <v>0</v>
      </c>
      <c r="H13">
        <f t="shared" si="5"/>
        <v>0</v>
      </c>
      <c r="I13" t="s">
        <v>9</v>
      </c>
      <c r="J13" t="s">
        <v>10</v>
      </c>
      <c r="K13" t="s">
        <v>8</v>
      </c>
      <c r="L13" t="s">
        <v>8</v>
      </c>
      <c r="M13">
        <v>8</v>
      </c>
      <c r="P13">
        <v>1</v>
      </c>
      <c r="Q13">
        <v>0</v>
      </c>
    </row>
    <row r="14" spans="1:17" x14ac:dyDescent="0.3">
      <c r="A14" s="1">
        <v>13</v>
      </c>
      <c r="B14" s="1" t="s">
        <v>14</v>
      </c>
      <c r="C14" s="1">
        <f t="shared" si="0"/>
        <v>1</v>
      </c>
      <c r="D14" s="1">
        <f t="shared" si="1"/>
        <v>1</v>
      </c>
      <c r="E14" s="1">
        <f t="shared" si="2"/>
        <v>1</v>
      </c>
      <c r="F14" s="1">
        <f t="shared" si="3"/>
        <v>3</v>
      </c>
      <c r="G14" s="1">
        <f t="shared" si="4"/>
        <v>4</v>
      </c>
      <c r="H14" s="1">
        <f t="shared" si="5"/>
        <v>3</v>
      </c>
      <c r="I14" s="1" t="s">
        <v>14</v>
      </c>
      <c r="J14" s="1" t="s">
        <v>10</v>
      </c>
      <c r="K14" s="1" t="s">
        <v>13</v>
      </c>
      <c r="L14" s="1" t="s">
        <v>15</v>
      </c>
      <c r="M14" s="1">
        <v>3</v>
      </c>
      <c r="N14" s="1">
        <v>7</v>
      </c>
      <c r="O14" s="1">
        <v>10</v>
      </c>
      <c r="P14" s="1">
        <v>0</v>
      </c>
      <c r="Q14" s="1">
        <v>1</v>
      </c>
    </row>
    <row r="15" spans="1:17" x14ac:dyDescent="0.3">
      <c r="A15">
        <v>14</v>
      </c>
      <c r="B15" t="s">
        <v>7</v>
      </c>
      <c r="C15">
        <f t="shared" si="0"/>
        <v>0</v>
      </c>
      <c r="D15">
        <f t="shared" si="1"/>
        <v>0</v>
      </c>
      <c r="E15">
        <f t="shared" si="2"/>
        <v>0</v>
      </c>
      <c r="F15">
        <f t="shared" si="3"/>
        <v>0</v>
      </c>
      <c r="G15">
        <f t="shared" si="4"/>
        <v>0</v>
      </c>
      <c r="H15">
        <f t="shared" si="5"/>
        <v>0</v>
      </c>
      <c r="I15" t="s">
        <v>7</v>
      </c>
      <c r="J15" t="s">
        <v>8</v>
      </c>
      <c r="K15" t="s">
        <v>8</v>
      </c>
      <c r="L15" t="s">
        <v>8</v>
      </c>
      <c r="P15">
        <v>1</v>
      </c>
      <c r="Q15">
        <v>0</v>
      </c>
    </row>
    <row r="16" spans="1:17" x14ac:dyDescent="0.3">
      <c r="A16">
        <v>15</v>
      </c>
      <c r="B16" t="s">
        <v>14</v>
      </c>
      <c r="C16">
        <f t="shared" si="0"/>
        <v>1</v>
      </c>
      <c r="D16">
        <f t="shared" si="1"/>
        <v>1</v>
      </c>
      <c r="E16">
        <f t="shared" si="2"/>
        <v>1</v>
      </c>
      <c r="F16">
        <f t="shared" si="3"/>
        <v>2</v>
      </c>
      <c r="G16">
        <f t="shared" si="4"/>
        <v>7</v>
      </c>
      <c r="H16">
        <f t="shared" si="5"/>
        <v>12</v>
      </c>
      <c r="I16" t="s">
        <v>14</v>
      </c>
      <c r="J16" t="s">
        <v>10</v>
      </c>
      <c r="K16" t="s">
        <v>13</v>
      </c>
      <c r="L16" t="s">
        <v>15</v>
      </c>
      <c r="M16">
        <v>2</v>
      </c>
      <c r="N16">
        <v>9</v>
      </c>
      <c r="O16">
        <v>21</v>
      </c>
      <c r="P16">
        <v>1</v>
      </c>
      <c r="Q16">
        <v>0</v>
      </c>
    </row>
    <row r="17" spans="1:17" x14ac:dyDescent="0.3">
      <c r="A17">
        <v>16</v>
      </c>
      <c r="B17" t="s">
        <v>14</v>
      </c>
      <c r="C17">
        <f t="shared" si="0"/>
        <v>1</v>
      </c>
      <c r="D17">
        <f t="shared" si="1"/>
        <v>1</v>
      </c>
      <c r="E17">
        <f t="shared" si="2"/>
        <v>1</v>
      </c>
      <c r="F17">
        <f t="shared" si="3"/>
        <v>5</v>
      </c>
      <c r="G17">
        <f t="shared" si="4"/>
        <v>5</v>
      </c>
      <c r="H17">
        <f t="shared" si="5"/>
        <v>10</v>
      </c>
      <c r="I17" t="s">
        <v>14</v>
      </c>
      <c r="J17" t="s">
        <v>10</v>
      </c>
      <c r="K17" t="s">
        <v>13</v>
      </c>
      <c r="L17" t="s">
        <v>15</v>
      </c>
      <c r="M17">
        <v>5</v>
      </c>
      <c r="N17">
        <v>10</v>
      </c>
      <c r="O17">
        <v>20</v>
      </c>
      <c r="P17">
        <v>0</v>
      </c>
      <c r="Q17">
        <v>0</v>
      </c>
    </row>
    <row r="18" spans="1:17" x14ac:dyDescent="0.3">
      <c r="A18">
        <v>17</v>
      </c>
      <c r="B18" t="s">
        <v>14</v>
      </c>
      <c r="C18">
        <f t="shared" si="0"/>
        <v>1</v>
      </c>
      <c r="D18">
        <f t="shared" si="1"/>
        <v>1</v>
      </c>
      <c r="E18">
        <f t="shared" si="2"/>
        <v>1</v>
      </c>
      <c r="F18">
        <f t="shared" si="3"/>
        <v>8</v>
      </c>
      <c r="G18">
        <f t="shared" si="4"/>
        <v>8</v>
      </c>
      <c r="H18">
        <f t="shared" si="5"/>
        <v>9</v>
      </c>
      <c r="I18" t="s">
        <v>14</v>
      </c>
      <c r="J18" t="s">
        <v>10</v>
      </c>
      <c r="K18" t="s">
        <v>13</v>
      </c>
      <c r="L18" t="s">
        <v>15</v>
      </c>
      <c r="M18">
        <v>8</v>
      </c>
      <c r="N18">
        <v>16</v>
      </c>
      <c r="O18">
        <v>25</v>
      </c>
      <c r="P18">
        <v>0</v>
      </c>
      <c r="Q18">
        <v>0</v>
      </c>
    </row>
    <row r="19" spans="1:17" x14ac:dyDescent="0.3">
      <c r="A19">
        <v>18</v>
      </c>
      <c r="B19" t="s">
        <v>14</v>
      </c>
      <c r="C19">
        <f t="shared" si="0"/>
        <v>1</v>
      </c>
      <c r="D19">
        <f t="shared" si="1"/>
        <v>1</v>
      </c>
      <c r="E19">
        <f t="shared" si="2"/>
        <v>1</v>
      </c>
      <c r="F19">
        <f t="shared" si="3"/>
        <v>5</v>
      </c>
      <c r="G19">
        <f t="shared" si="4"/>
        <v>11</v>
      </c>
      <c r="H19">
        <f t="shared" si="5"/>
        <v>7</v>
      </c>
      <c r="I19" t="s">
        <v>14</v>
      </c>
      <c r="J19" t="s">
        <v>10</v>
      </c>
      <c r="K19" t="s">
        <v>13</v>
      </c>
      <c r="L19" t="s">
        <v>15</v>
      </c>
      <c r="M19">
        <v>5</v>
      </c>
      <c r="N19">
        <v>16</v>
      </c>
      <c r="O19">
        <v>23</v>
      </c>
      <c r="P19">
        <v>0</v>
      </c>
      <c r="Q19">
        <v>0</v>
      </c>
    </row>
    <row r="20" spans="1:17" x14ac:dyDescent="0.3">
      <c r="A20" s="1">
        <v>19</v>
      </c>
      <c r="B20" s="1" t="s">
        <v>14</v>
      </c>
      <c r="C20" s="1">
        <f t="shared" si="0"/>
        <v>1</v>
      </c>
      <c r="D20" s="1">
        <f t="shared" si="1"/>
        <v>1</v>
      </c>
      <c r="E20" s="1">
        <f t="shared" si="2"/>
        <v>1</v>
      </c>
      <c r="F20" s="1">
        <f t="shared" si="3"/>
        <v>4</v>
      </c>
      <c r="G20" s="1">
        <f t="shared" si="4"/>
        <v>2</v>
      </c>
      <c r="H20" s="1">
        <f t="shared" si="5"/>
        <v>4</v>
      </c>
      <c r="I20" s="1" t="s">
        <v>14</v>
      </c>
      <c r="J20" s="1" t="s">
        <v>10</v>
      </c>
      <c r="K20" s="1" t="s">
        <v>13</v>
      </c>
      <c r="L20" s="1" t="s">
        <v>15</v>
      </c>
      <c r="M20" s="1">
        <v>4</v>
      </c>
      <c r="N20" s="1">
        <v>6</v>
      </c>
      <c r="O20" s="1">
        <v>10</v>
      </c>
      <c r="P20" s="1">
        <v>0</v>
      </c>
      <c r="Q20" s="1">
        <v>1</v>
      </c>
    </row>
    <row r="21" spans="1:17" x14ac:dyDescent="0.3">
      <c r="A21">
        <v>20</v>
      </c>
      <c r="B21" t="s">
        <v>7</v>
      </c>
      <c r="C21">
        <f t="shared" si="0"/>
        <v>0</v>
      </c>
      <c r="D21">
        <f t="shared" si="1"/>
        <v>0</v>
      </c>
      <c r="E21">
        <f t="shared" si="2"/>
        <v>0</v>
      </c>
      <c r="F21">
        <f t="shared" si="3"/>
        <v>0</v>
      </c>
      <c r="G21">
        <f t="shared" si="4"/>
        <v>0</v>
      </c>
      <c r="H21">
        <f t="shared" si="5"/>
        <v>0</v>
      </c>
      <c r="I21" t="s">
        <v>7</v>
      </c>
      <c r="J21" t="s">
        <v>8</v>
      </c>
      <c r="K21" t="s">
        <v>8</v>
      </c>
      <c r="L21" t="s">
        <v>8</v>
      </c>
      <c r="P21">
        <v>1</v>
      </c>
      <c r="Q21">
        <v>0</v>
      </c>
    </row>
    <row r="22" spans="1:17" x14ac:dyDescent="0.3">
      <c r="A22">
        <v>21</v>
      </c>
      <c r="B22" t="s">
        <v>9</v>
      </c>
      <c r="C22">
        <f t="shared" si="0"/>
        <v>1</v>
      </c>
      <c r="D22">
        <f t="shared" si="1"/>
        <v>0</v>
      </c>
      <c r="E22">
        <f t="shared" si="2"/>
        <v>0</v>
      </c>
      <c r="F22">
        <f t="shared" si="3"/>
        <v>13</v>
      </c>
      <c r="G22">
        <f t="shared" si="4"/>
        <v>0</v>
      </c>
      <c r="H22">
        <f t="shared" si="5"/>
        <v>0</v>
      </c>
      <c r="I22" t="s">
        <v>9</v>
      </c>
      <c r="J22" t="s">
        <v>10</v>
      </c>
      <c r="K22" t="s">
        <v>8</v>
      </c>
      <c r="L22" t="s">
        <v>11</v>
      </c>
      <c r="M22">
        <v>13</v>
      </c>
      <c r="P22">
        <v>1</v>
      </c>
      <c r="Q22">
        <v>0</v>
      </c>
    </row>
    <row r="23" spans="1:17" x14ac:dyDescent="0.3">
      <c r="A23">
        <v>22</v>
      </c>
      <c r="B23" t="s">
        <v>17</v>
      </c>
      <c r="C23">
        <f t="shared" si="0"/>
        <v>0</v>
      </c>
      <c r="D23">
        <f t="shared" si="1"/>
        <v>1</v>
      </c>
      <c r="E23">
        <f t="shared" si="2"/>
        <v>0</v>
      </c>
      <c r="F23">
        <f t="shared" si="3"/>
        <v>8</v>
      </c>
      <c r="G23">
        <f t="shared" si="4"/>
        <v>9</v>
      </c>
      <c r="H23">
        <f t="shared" si="5"/>
        <v>0</v>
      </c>
      <c r="I23" t="s">
        <v>17</v>
      </c>
      <c r="J23" t="s">
        <v>8</v>
      </c>
      <c r="K23" t="s">
        <v>13</v>
      </c>
      <c r="L23" t="s">
        <v>11</v>
      </c>
      <c r="M23">
        <v>8</v>
      </c>
      <c r="N23">
        <v>17</v>
      </c>
      <c r="P23">
        <v>1</v>
      </c>
      <c r="Q23">
        <v>0</v>
      </c>
    </row>
    <row r="24" spans="1:17" x14ac:dyDescent="0.3">
      <c r="A24">
        <v>23</v>
      </c>
      <c r="B24" t="s">
        <v>12</v>
      </c>
      <c r="C24">
        <f t="shared" si="0"/>
        <v>1</v>
      </c>
      <c r="D24">
        <f t="shared" si="1"/>
        <v>1</v>
      </c>
      <c r="E24">
        <f t="shared" si="2"/>
        <v>0</v>
      </c>
      <c r="F24">
        <f t="shared" si="3"/>
        <v>5</v>
      </c>
      <c r="G24">
        <f t="shared" si="4"/>
        <v>8</v>
      </c>
      <c r="H24">
        <f t="shared" si="5"/>
        <v>13</v>
      </c>
      <c r="I24" t="s">
        <v>12</v>
      </c>
      <c r="J24" t="s">
        <v>10</v>
      </c>
      <c r="K24" t="s">
        <v>13</v>
      </c>
      <c r="L24" t="s">
        <v>8</v>
      </c>
      <c r="M24">
        <v>5</v>
      </c>
      <c r="N24">
        <v>13</v>
      </c>
      <c r="O24">
        <v>26</v>
      </c>
      <c r="P24">
        <v>1</v>
      </c>
      <c r="Q24">
        <v>0</v>
      </c>
    </row>
    <row r="25" spans="1:17" x14ac:dyDescent="0.3">
      <c r="A25">
        <v>24</v>
      </c>
      <c r="B25" t="s">
        <v>14</v>
      </c>
      <c r="C25">
        <f t="shared" si="0"/>
        <v>1</v>
      </c>
      <c r="D25">
        <f t="shared" si="1"/>
        <v>1</v>
      </c>
      <c r="E25">
        <f t="shared" si="2"/>
        <v>1</v>
      </c>
      <c r="F25">
        <f t="shared" si="3"/>
        <v>5</v>
      </c>
      <c r="G25">
        <f t="shared" si="4"/>
        <v>5</v>
      </c>
      <c r="H25">
        <f t="shared" si="5"/>
        <v>15</v>
      </c>
      <c r="I25" t="s">
        <v>14</v>
      </c>
      <c r="J25" t="s">
        <v>10</v>
      </c>
      <c r="K25" t="s">
        <v>13</v>
      </c>
      <c r="L25" t="s">
        <v>15</v>
      </c>
      <c r="M25">
        <v>5</v>
      </c>
      <c r="N25">
        <v>10</v>
      </c>
      <c r="O25">
        <v>25</v>
      </c>
      <c r="P25">
        <v>0</v>
      </c>
      <c r="Q25">
        <v>0</v>
      </c>
    </row>
    <row r="26" spans="1:17" x14ac:dyDescent="0.3">
      <c r="A26">
        <v>25</v>
      </c>
      <c r="B26" t="s">
        <v>7</v>
      </c>
      <c r="C26">
        <f t="shared" si="0"/>
        <v>0</v>
      </c>
      <c r="D26">
        <f t="shared" si="1"/>
        <v>0</v>
      </c>
      <c r="E26">
        <f t="shared" si="2"/>
        <v>0</v>
      </c>
      <c r="F26">
        <f t="shared" si="3"/>
        <v>0</v>
      </c>
      <c r="G26">
        <f t="shared" si="4"/>
        <v>0</v>
      </c>
      <c r="H26">
        <f t="shared" si="5"/>
        <v>0</v>
      </c>
      <c r="I26" t="s">
        <v>7</v>
      </c>
      <c r="J26" t="s">
        <v>8</v>
      </c>
      <c r="K26" t="s">
        <v>8</v>
      </c>
      <c r="L26" t="s">
        <v>8</v>
      </c>
      <c r="P26">
        <v>1</v>
      </c>
      <c r="Q26">
        <v>0</v>
      </c>
    </row>
    <row r="27" spans="1:17" x14ac:dyDescent="0.3">
      <c r="A27">
        <v>26</v>
      </c>
      <c r="B27" t="s">
        <v>12</v>
      </c>
      <c r="C27">
        <f t="shared" si="0"/>
        <v>1</v>
      </c>
      <c r="D27">
        <f t="shared" si="1"/>
        <v>1</v>
      </c>
      <c r="E27">
        <f t="shared" si="2"/>
        <v>0</v>
      </c>
      <c r="F27">
        <f t="shared" si="3"/>
        <v>8</v>
      </c>
      <c r="G27">
        <f t="shared" si="4"/>
        <v>8</v>
      </c>
      <c r="H27">
        <f t="shared" si="5"/>
        <v>0</v>
      </c>
      <c r="I27" t="s">
        <v>12</v>
      </c>
      <c r="J27" t="s">
        <v>10</v>
      </c>
      <c r="K27" t="s">
        <v>13</v>
      </c>
      <c r="L27" t="s">
        <v>8</v>
      </c>
      <c r="M27">
        <v>8</v>
      </c>
      <c r="N27">
        <v>16</v>
      </c>
      <c r="P27">
        <v>0</v>
      </c>
      <c r="Q27">
        <v>0</v>
      </c>
    </row>
    <row r="28" spans="1:17" x14ac:dyDescent="0.3">
      <c r="A28">
        <v>27</v>
      </c>
      <c r="B28" t="s">
        <v>14</v>
      </c>
      <c r="C28">
        <f t="shared" si="0"/>
        <v>1</v>
      </c>
      <c r="D28">
        <f t="shared" si="1"/>
        <v>1</v>
      </c>
      <c r="E28">
        <f t="shared" si="2"/>
        <v>1</v>
      </c>
      <c r="F28">
        <f t="shared" si="3"/>
        <v>8</v>
      </c>
      <c r="G28">
        <f t="shared" si="4"/>
        <v>11</v>
      </c>
      <c r="H28">
        <f t="shared" si="5"/>
        <v>10</v>
      </c>
      <c r="I28" t="s">
        <v>14</v>
      </c>
      <c r="J28" t="s">
        <v>10</v>
      </c>
      <c r="K28" t="s">
        <v>13</v>
      </c>
      <c r="L28" t="s">
        <v>15</v>
      </c>
      <c r="M28">
        <v>8</v>
      </c>
      <c r="N28">
        <v>19</v>
      </c>
      <c r="O28">
        <v>29</v>
      </c>
      <c r="P28">
        <v>1</v>
      </c>
      <c r="Q28">
        <v>0</v>
      </c>
    </row>
    <row r="29" spans="1:17" x14ac:dyDescent="0.3">
      <c r="A29">
        <v>28</v>
      </c>
      <c r="B29" t="s">
        <v>14</v>
      </c>
      <c r="C29">
        <f t="shared" si="0"/>
        <v>1</v>
      </c>
      <c r="D29">
        <f t="shared" si="1"/>
        <v>1</v>
      </c>
      <c r="E29">
        <f t="shared" si="2"/>
        <v>1</v>
      </c>
      <c r="F29">
        <f t="shared" si="3"/>
        <v>9</v>
      </c>
      <c r="G29">
        <f t="shared" si="4"/>
        <v>10</v>
      </c>
      <c r="H29">
        <f t="shared" si="5"/>
        <v>10</v>
      </c>
      <c r="I29" t="s">
        <v>14</v>
      </c>
      <c r="J29" t="s">
        <v>10</v>
      </c>
      <c r="K29" t="s">
        <v>13</v>
      </c>
      <c r="L29" t="s">
        <v>15</v>
      </c>
      <c r="M29">
        <v>9</v>
      </c>
      <c r="N29">
        <v>19</v>
      </c>
      <c r="O29">
        <v>29</v>
      </c>
      <c r="P29">
        <v>1</v>
      </c>
      <c r="Q29">
        <v>0</v>
      </c>
    </row>
    <row r="30" spans="1:17" x14ac:dyDescent="0.3">
      <c r="A30" s="1">
        <v>29</v>
      </c>
      <c r="B30" s="1" t="s">
        <v>18</v>
      </c>
      <c r="C30" s="1">
        <f t="shared" si="0"/>
        <v>1</v>
      </c>
      <c r="D30" s="1">
        <f t="shared" si="1"/>
        <v>0</v>
      </c>
      <c r="E30" s="1">
        <f t="shared" si="2"/>
        <v>1</v>
      </c>
      <c r="F30" s="1">
        <f t="shared" si="3"/>
        <v>2</v>
      </c>
      <c r="G30" s="1">
        <f t="shared" si="4"/>
        <v>2</v>
      </c>
      <c r="H30" s="1">
        <f t="shared" si="5"/>
        <v>5</v>
      </c>
      <c r="I30" s="1" t="s">
        <v>18</v>
      </c>
      <c r="J30" s="1" t="s">
        <v>10</v>
      </c>
      <c r="K30" s="1" t="s">
        <v>11</v>
      </c>
      <c r="L30" s="1" t="s">
        <v>15</v>
      </c>
      <c r="M30" s="1">
        <v>2</v>
      </c>
      <c r="N30" s="1">
        <v>4</v>
      </c>
      <c r="O30" s="1">
        <v>9</v>
      </c>
      <c r="P30" s="1">
        <v>0</v>
      </c>
      <c r="Q30" s="1">
        <v>1</v>
      </c>
    </row>
    <row r="31" spans="1:17" x14ac:dyDescent="0.3">
      <c r="A31">
        <v>30</v>
      </c>
      <c r="B31" t="s">
        <v>7</v>
      </c>
      <c r="C31">
        <f t="shared" si="0"/>
        <v>0</v>
      </c>
      <c r="D31">
        <f t="shared" si="1"/>
        <v>0</v>
      </c>
      <c r="E31">
        <f t="shared" si="2"/>
        <v>0</v>
      </c>
      <c r="F31">
        <f t="shared" si="3"/>
        <v>0</v>
      </c>
      <c r="G31">
        <f t="shared" si="4"/>
        <v>0</v>
      </c>
      <c r="H31">
        <f t="shared" si="5"/>
        <v>0</v>
      </c>
      <c r="I31" t="s">
        <v>7</v>
      </c>
      <c r="J31" t="s">
        <v>8</v>
      </c>
      <c r="K31" t="s">
        <v>8</v>
      </c>
      <c r="L31" t="s">
        <v>11</v>
      </c>
      <c r="P31">
        <v>1</v>
      </c>
      <c r="Q31">
        <v>0</v>
      </c>
    </row>
    <row r="32" spans="1:17" x14ac:dyDescent="0.3">
      <c r="A32">
        <v>31</v>
      </c>
      <c r="B32" t="s">
        <v>14</v>
      </c>
      <c r="C32">
        <f t="shared" si="0"/>
        <v>1</v>
      </c>
      <c r="D32">
        <f t="shared" si="1"/>
        <v>1</v>
      </c>
      <c r="E32">
        <f t="shared" si="2"/>
        <v>1</v>
      </c>
      <c r="F32">
        <f t="shared" si="3"/>
        <v>6</v>
      </c>
      <c r="G32">
        <f t="shared" si="4"/>
        <v>6</v>
      </c>
      <c r="H32">
        <f t="shared" si="5"/>
        <v>16</v>
      </c>
      <c r="I32" t="s">
        <v>14</v>
      </c>
      <c r="J32" t="s">
        <v>10</v>
      </c>
      <c r="K32" t="s">
        <v>13</v>
      </c>
      <c r="L32" t="s">
        <v>15</v>
      </c>
      <c r="M32">
        <v>6</v>
      </c>
      <c r="N32">
        <v>12</v>
      </c>
      <c r="O32">
        <v>28</v>
      </c>
      <c r="P32">
        <v>0</v>
      </c>
      <c r="Q32">
        <v>0</v>
      </c>
    </row>
    <row r="33" spans="1:17" x14ac:dyDescent="0.3">
      <c r="A33">
        <v>32</v>
      </c>
      <c r="B33" t="s">
        <v>7</v>
      </c>
      <c r="C33">
        <f t="shared" si="0"/>
        <v>0</v>
      </c>
      <c r="D33">
        <f t="shared" si="1"/>
        <v>0</v>
      </c>
      <c r="E33">
        <f t="shared" si="2"/>
        <v>0</v>
      </c>
      <c r="F33">
        <f t="shared" si="3"/>
        <v>0</v>
      </c>
      <c r="G33">
        <f t="shared" si="4"/>
        <v>0</v>
      </c>
      <c r="H33">
        <f t="shared" si="5"/>
        <v>0</v>
      </c>
      <c r="I33" t="s">
        <v>7</v>
      </c>
      <c r="J33" t="s">
        <v>8</v>
      </c>
      <c r="K33" t="s">
        <v>8</v>
      </c>
      <c r="L33" t="s">
        <v>8</v>
      </c>
      <c r="P33">
        <v>1</v>
      </c>
      <c r="Q33">
        <v>0</v>
      </c>
    </row>
    <row r="34" spans="1:17" x14ac:dyDescent="0.3">
      <c r="A34" s="1">
        <v>33</v>
      </c>
      <c r="B34" s="1" t="s">
        <v>12</v>
      </c>
      <c r="C34" s="1">
        <f t="shared" si="0"/>
        <v>0</v>
      </c>
      <c r="D34" s="1">
        <f t="shared" si="1"/>
        <v>0</v>
      </c>
      <c r="E34" s="1">
        <f t="shared" si="2"/>
        <v>1</v>
      </c>
      <c r="F34" s="1">
        <f t="shared" si="3"/>
        <v>1</v>
      </c>
      <c r="G34" s="1">
        <f t="shared" si="4"/>
        <v>1</v>
      </c>
      <c r="H34" s="1">
        <f t="shared" si="5"/>
        <v>6</v>
      </c>
      <c r="I34" s="1" t="s">
        <v>12</v>
      </c>
      <c r="J34" s="1" t="s">
        <v>11</v>
      </c>
      <c r="K34" s="1" t="s">
        <v>11</v>
      </c>
      <c r="L34" s="1" t="s">
        <v>15</v>
      </c>
      <c r="M34" s="1">
        <v>1</v>
      </c>
      <c r="N34" s="1">
        <v>2</v>
      </c>
      <c r="O34" s="1">
        <v>8</v>
      </c>
      <c r="P34" s="1">
        <v>1</v>
      </c>
      <c r="Q34" s="1">
        <v>1</v>
      </c>
    </row>
    <row r="35" spans="1:17" x14ac:dyDescent="0.3">
      <c r="A35">
        <v>34</v>
      </c>
      <c r="B35" t="s">
        <v>12</v>
      </c>
      <c r="C35">
        <f t="shared" si="0"/>
        <v>1</v>
      </c>
      <c r="D35">
        <f t="shared" si="1"/>
        <v>1</v>
      </c>
      <c r="E35">
        <f t="shared" si="2"/>
        <v>0</v>
      </c>
      <c r="F35">
        <f t="shared" si="3"/>
        <v>2</v>
      </c>
      <c r="G35">
        <f t="shared" si="4"/>
        <v>10</v>
      </c>
      <c r="H35">
        <f t="shared" si="5"/>
        <v>0</v>
      </c>
      <c r="I35" t="s">
        <v>12</v>
      </c>
      <c r="J35" t="s">
        <v>10</v>
      </c>
      <c r="K35" t="s">
        <v>13</v>
      </c>
      <c r="L35" t="s">
        <v>11</v>
      </c>
      <c r="M35">
        <v>2</v>
      </c>
      <c r="N35">
        <v>12</v>
      </c>
      <c r="P35">
        <v>0</v>
      </c>
      <c r="Q35">
        <v>0</v>
      </c>
    </row>
    <row r="36" spans="1:17" x14ac:dyDescent="0.3">
      <c r="A36">
        <v>35</v>
      </c>
      <c r="B36" t="s">
        <v>12</v>
      </c>
      <c r="C36">
        <f t="shared" si="0"/>
        <v>1</v>
      </c>
      <c r="D36">
        <f t="shared" si="1"/>
        <v>1</v>
      </c>
      <c r="E36">
        <f t="shared" si="2"/>
        <v>0</v>
      </c>
      <c r="F36">
        <f t="shared" si="3"/>
        <v>16</v>
      </c>
      <c r="G36">
        <f t="shared" si="4"/>
        <v>7</v>
      </c>
      <c r="H36">
        <f t="shared" si="5"/>
        <v>0</v>
      </c>
      <c r="I36" t="s">
        <v>12</v>
      </c>
      <c r="J36" t="s">
        <v>10</v>
      </c>
      <c r="K36" t="s">
        <v>13</v>
      </c>
      <c r="L36" t="s">
        <v>8</v>
      </c>
      <c r="M36">
        <v>16</v>
      </c>
      <c r="N36">
        <v>23</v>
      </c>
      <c r="P36">
        <v>1</v>
      </c>
      <c r="Q36">
        <v>0</v>
      </c>
    </row>
    <row r="37" spans="1:17" x14ac:dyDescent="0.3">
      <c r="A37">
        <v>36</v>
      </c>
      <c r="B37" t="s">
        <v>17</v>
      </c>
      <c r="C37">
        <f t="shared" si="0"/>
        <v>0</v>
      </c>
      <c r="D37">
        <f t="shared" si="1"/>
        <v>1</v>
      </c>
      <c r="E37">
        <f t="shared" si="2"/>
        <v>0</v>
      </c>
      <c r="F37">
        <f t="shared" si="3"/>
        <v>7</v>
      </c>
      <c r="G37">
        <f t="shared" si="4"/>
        <v>10</v>
      </c>
      <c r="H37">
        <f t="shared" si="5"/>
        <v>0</v>
      </c>
      <c r="I37" t="s">
        <v>17</v>
      </c>
      <c r="J37" t="s">
        <v>8</v>
      </c>
      <c r="K37" t="s">
        <v>13</v>
      </c>
      <c r="L37" t="s">
        <v>8</v>
      </c>
      <c r="M37">
        <v>7</v>
      </c>
      <c r="N37">
        <v>17</v>
      </c>
      <c r="P37">
        <v>0</v>
      </c>
      <c r="Q37">
        <v>0</v>
      </c>
    </row>
    <row r="38" spans="1:17" x14ac:dyDescent="0.3">
      <c r="A38">
        <v>37</v>
      </c>
      <c r="B38" t="s">
        <v>12</v>
      </c>
      <c r="C38">
        <f t="shared" si="0"/>
        <v>1</v>
      </c>
      <c r="D38">
        <f t="shared" si="1"/>
        <v>1</v>
      </c>
      <c r="E38">
        <f t="shared" si="2"/>
        <v>0</v>
      </c>
      <c r="F38">
        <f t="shared" si="3"/>
        <v>7</v>
      </c>
      <c r="G38">
        <f t="shared" si="4"/>
        <v>9</v>
      </c>
      <c r="H38">
        <f t="shared" si="5"/>
        <v>0</v>
      </c>
      <c r="I38" t="s">
        <v>12</v>
      </c>
      <c r="J38" t="s">
        <v>10</v>
      </c>
      <c r="K38" t="s">
        <v>13</v>
      </c>
      <c r="L38" t="s">
        <v>11</v>
      </c>
      <c r="M38">
        <v>7</v>
      </c>
      <c r="N38">
        <v>16</v>
      </c>
      <c r="P38">
        <v>0</v>
      </c>
      <c r="Q38">
        <v>0</v>
      </c>
    </row>
    <row r="39" spans="1:17" x14ac:dyDescent="0.3">
      <c r="A39">
        <v>38</v>
      </c>
      <c r="B39" t="s">
        <v>7</v>
      </c>
      <c r="C39">
        <f t="shared" si="0"/>
        <v>0</v>
      </c>
      <c r="D39">
        <f t="shared" si="1"/>
        <v>0</v>
      </c>
      <c r="E39">
        <f t="shared" si="2"/>
        <v>0</v>
      </c>
      <c r="F39">
        <f t="shared" si="3"/>
        <v>0</v>
      </c>
      <c r="G39">
        <f t="shared" si="4"/>
        <v>0</v>
      </c>
      <c r="H39">
        <f t="shared" si="5"/>
        <v>0</v>
      </c>
      <c r="I39" t="s">
        <v>7</v>
      </c>
      <c r="J39" t="s">
        <v>8</v>
      </c>
      <c r="K39" t="s">
        <v>8</v>
      </c>
      <c r="L39" t="s">
        <v>11</v>
      </c>
      <c r="P39">
        <v>0</v>
      </c>
      <c r="Q39">
        <v>0</v>
      </c>
    </row>
    <row r="40" spans="1:17" x14ac:dyDescent="0.3">
      <c r="A40">
        <v>39</v>
      </c>
      <c r="B40" t="s">
        <v>12</v>
      </c>
      <c r="C40">
        <f t="shared" si="0"/>
        <v>0</v>
      </c>
      <c r="D40">
        <f t="shared" si="1"/>
        <v>0</v>
      </c>
      <c r="E40">
        <f t="shared" si="2"/>
        <v>1</v>
      </c>
      <c r="F40">
        <f t="shared" si="3"/>
        <v>0</v>
      </c>
      <c r="G40">
        <f t="shared" si="4"/>
        <v>1</v>
      </c>
      <c r="H40">
        <f t="shared" si="5"/>
        <v>22</v>
      </c>
      <c r="I40" t="s">
        <v>12</v>
      </c>
      <c r="J40" t="s">
        <v>8</v>
      </c>
      <c r="K40" t="s">
        <v>8</v>
      </c>
      <c r="L40" t="s">
        <v>15</v>
      </c>
      <c r="M40">
        <v>0</v>
      </c>
      <c r="N40">
        <v>1</v>
      </c>
      <c r="O40">
        <v>23</v>
      </c>
      <c r="P40">
        <v>0</v>
      </c>
      <c r="Q40">
        <v>0</v>
      </c>
    </row>
    <row r="41" spans="1:17" x14ac:dyDescent="0.3">
      <c r="A41">
        <v>40</v>
      </c>
      <c r="B41" t="s">
        <v>18</v>
      </c>
      <c r="C41">
        <f t="shared" si="0"/>
        <v>1</v>
      </c>
      <c r="D41">
        <f t="shared" si="1"/>
        <v>0</v>
      </c>
      <c r="E41">
        <f t="shared" si="2"/>
        <v>1</v>
      </c>
      <c r="F41">
        <f t="shared" si="3"/>
        <v>4</v>
      </c>
      <c r="G41">
        <f t="shared" si="4"/>
        <v>6</v>
      </c>
      <c r="H41">
        <f t="shared" si="5"/>
        <v>14</v>
      </c>
      <c r="I41" t="s">
        <v>18</v>
      </c>
      <c r="J41" t="s">
        <v>10</v>
      </c>
      <c r="K41" t="s">
        <v>8</v>
      </c>
      <c r="L41" t="s">
        <v>15</v>
      </c>
      <c r="M41">
        <v>4</v>
      </c>
      <c r="N41">
        <v>10</v>
      </c>
      <c r="O41">
        <v>24</v>
      </c>
      <c r="P41">
        <v>0</v>
      </c>
      <c r="Q41">
        <v>0</v>
      </c>
    </row>
    <row r="42" spans="1:17" x14ac:dyDescent="0.3">
      <c r="A42">
        <v>41</v>
      </c>
      <c r="B42" t="s">
        <v>14</v>
      </c>
      <c r="C42">
        <f t="shared" si="0"/>
        <v>1</v>
      </c>
      <c r="D42">
        <f t="shared" si="1"/>
        <v>1</v>
      </c>
      <c r="E42">
        <f t="shared" si="2"/>
        <v>1</v>
      </c>
      <c r="F42">
        <f t="shared" si="3"/>
        <v>7</v>
      </c>
      <c r="G42">
        <f t="shared" si="4"/>
        <v>7</v>
      </c>
      <c r="H42">
        <f t="shared" si="5"/>
        <v>11</v>
      </c>
      <c r="I42" t="s">
        <v>14</v>
      </c>
      <c r="J42" t="s">
        <v>10</v>
      </c>
      <c r="K42" t="s">
        <v>13</v>
      </c>
      <c r="L42" t="s">
        <v>15</v>
      </c>
      <c r="M42">
        <v>7</v>
      </c>
      <c r="N42">
        <v>14</v>
      </c>
      <c r="O42">
        <v>25</v>
      </c>
      <c r="P42">
        <v>1</v>
      </c>
      <c r="Q42">
        <v>0</v>
      </c>
    </row>
    <row r="43" spans="1:17" x14ac:dyDescent="0.3">
      <c r="A43" s="1">
        <v>42</v>
      </c>
      <c r="B43" s="1" t="s">
        <v>9</v>
      </c>
      <c r="C43" s="1">
        <f t="shared" si="0"/>
        <v>1</v>
      </c>
      <c r="D43" s="1">
        <f t="shared" si="1"/>
        <v>0</v>
      </c>
      <c r="E43" s="1">
        <f t="shared" si="2"/>
        <v>0</v>
      </c>
      <c r="F43" s="1">
        <f t="shared" si="3"/>
        <v>3</v>
      </c>
      <c r="G43" s="1">
        <f t="shared" si="4"/>
        <v>0</v>
      </c>
      <c r="H43" s="1">
        <f t="shared" si="5"/>
        <v>0</v>
      </c>
      <c r="I43" s="1" t="s">
        <v>9</v>
      </c>
      <c r="J43" s="1" t="s">
        <v>10</v>
      </c>
      <c r="K43" s="1" t="s">
        <v>11</v>
      </c>
      <c r="L43" s="1" t="s">
        <v>11</v>
      </c>
      <c r="M43" s="1">
        <v>3</v>
      </c>
      <c r="N43" s="1"/>
      <c r="O43" s="1"/>
      <c r="P43" s="1">
        <v>0</v>
      </c>
      <c r="Q43" s="1">
        <v>1</v>
      </c>
    </row>
    <row r="44" spans="1:17" x14ac:dyDescent="0.3">
      <c r="A44">
        <v>43</v>
      </c>
      <c r="B44" t="s">
        <v>14</v>
      </c>
      <c r="C44">
        <f t="shared" si="0"/>
        <v>1</v>
      </c>
      <c r="D44">
        <f t="shared" si="1"/>
        <v>1</v>
      </c>
      <c r="E44">
        <f t="shared" si="2"/>
        <v>1</v>
      </c>
      <c r="F44">
        <f t="shared" si="3"/>
        <v>5</v>
      </c>
      <c r="G44">
        <f t="shared" si="4"/>
        <v>4</v>
      </c>
      <c r="H44">
        <f t="shared" si="5"/>
        <v>8</v>
      </c>
      <c r="I44" t="s">
        <v>14</v>
      </c>
      <c r="J44" t="s">
        <v>10</v>
      </c>
      <c r="K44" t="s">
        <v>13</v>
      </c>
      <c r="L44" t="s">
        <v>15</v>
      </c>
      <c r="M44">
        <v>5</v>
      </c>
      <c r="N44">
        <v>9</v>
      </c>
      <c r="O44">
        <v>17</v>
      </c>
      <c r="P44">
        <v>0</v>
      </c>
      <c r="Q44">
        <v>0</v>
      </c>
    </row>
    <row r="45" spans="1:17" x14ac:dyDescent="0.3">
      <c r="A45">
        <v>44</v>
      </c>
      <c r="B45" t="s">
        <v>12</v>
      </c>
      <c r="C45">
        <f t="shared" si="0"/>
        <v>1</v>
      </c>
      <c r="D45">
        <f t="shared" si="1"/>
        <v>1</v>
      </c>
      <c r="E45">
        <f t="shared" si="2"/>
        <v>0</v>
      </c>
      <c r="F45">
        <f t="shared" si="3"/>
        <v>6</v>
      </c>
      <c r="G45">
        <f t="shared" si="4"/>
        <v>5</v>
      </c>
      <c r="H45">
        <f t="shared" si="5"/>
        <v>0</v>
      </c>
      <c r="I45" t="s">
        <v>12</v>
      </c>
      <c r="J45" t="s">
        <v>10</v>
      </c>
      <c r="K45" t="s">
        <v>13</v>
      </c>
      <c r="L45" t="s">
        <v>8</v>
      </c>
      <c r="M45">
        <v>6</v>
      </c>
      <c r="N45">
        <v>11</v>
      </c>
      <c r="P45">
        <v>0</v>
      </c>
      <c r="Q45">
        <v>0</v>
      </c>
    </row>
    <row r="46" spans="1:17" x14ac:dyDescent="0.3">
      <c r="A46">
        <v>45</v>
      </c>
      <c r="B46" t="s">
        <v>14</v>
      </c>
      <c r="C46">
        <f t="shared" si="0"/>
        <v>1</v>
      </c>
      <c r="D46">
        <f t="shared" si="1"/>
        <v>1</v>
      </c>
      <c r="E46">
        <f t="shared" si="2"/>
        <v>1</v>
      </c>
      <c r="F46">
        <f t="shared" si="3"/>
        <v>6</v>
      </c>
      <c r="G46">
        <f t="shared" si="4"/>
        <v>12</v>
      </c>
      <c r="H46">
        <f t="shared" si="5"/>
        <v>10</v>
      </c>
      <c r="I46" t="s">
        <v>14</v>
      </c>
      <c r="J46" t="s">
        <v>10</v>
      </c>
      <c r="K46" t="s">
        <v>13</v>
      </c>
      <c r="L46" t="s">
        <v>15</v>
      </c>
      <c r="M46">
        <v>6</v>
      </c>
      <c r="N46">
        <v>18</v>
      </c>
      <c r="O46">
        <v>28</v>
      </c>
      <c r="P46">
        <v>1</v>
      </c>
      <c r="Q46">
        <v>0</v>
      </c>
    </row>
    <row r="47" spans="1:17" x14ac:dyDescent="0.3">
      <c r="A47" s="1">
        <v>46</v>
      </c>
      <c r="B47" s="1" t="s">
        <v>14</v>
      </c>
      <c r="C47" s="1">
        <f t="shared" si="0"/>
        <v>1</v>
      </c>
      <c r="D47" s="1">
        <f t="shared" si="1"/>
        <v>1</v>
      </c>
      <c r="E47" s="1">
        <f t="shared" si="2"/>
        <v>1</v>
      </c>
      <c r="F47" s="1">
        <f t="shared" si="3"/>
        <v>2</v>
      </c>
      <c r="G47" s="1">
        <f t="shared" si="4"/>
        <v>6</v>
      </c>
      <c r="H47" s="1">
        <f t="shared" si="5"/>
        <v>3</v>
      </c>
      <c r="I47" s="1" t="s">
        <v>14</v>
      </c>
      <c r="J47" s="1" t="s">
        <v>10</v>
      </c>
      <c r="K47" s="1" t="s">
        <v>13</v>
      </c>
      <c r="L47" s="1" t="s">
        <v>15</v>
      </c>
      <c r="M47" s="1">
        <v>2</v>
      </c>
      <c r="N47" s="1">
        <v>8</v>
      </c>
      <c r="O47" s="1">
        <v>11</v>
      </c>
      <c r="P47" s="1">
        <v>0</v>
      </c>
      <c r="Q47" s="1">
        <v>1</v>
      </c>
    </row>
    <row r="48" spans="1:17" x14ac:dyDescent="0.3">
      <c r="A48">
        <v>47</v>
      </c>
      <c r="B48" t="s">
        <v>14</v>
      </c>
      <c r="C48">
        <f t="shared" si="0"/>
        <v>1</v>
      </c>
      <c r="D48">
        <f t="shared" si="1"/>
        <v>1</v>
      </c>
      <c r="E48">
        <f t="shared" si="2"/>
        <v>1</v>
      </c>
      <c r="F48">
        <f t="shared" si="3"/>
        <v>3</v>
      </c>
      <c r="G48">
        <f t="shared" si="4"/>
        <v>8</v>
      </c>
      <c r="H48">
        <f t="shared" si="5"/>
        <v>18</v>
      </c>
      <c r="I48" t="s">
        <v>14</v>
      </c>
      <c r="J48" t="s">
        <v>10</v>
      </c>
      <c r="K48" t="s">
        <v>13</v>
      </c>
      <c r="L48" t="s">
        <v>15</v>
      </c>
      <c r="M48">
        <v>3</v>
      </c>
      <c r="N48">
        <v>11</v>
      </c>
      <c r="O48">
        <v>29</v>
      </c>
      <c r="P48">
        <v>0</v>
      </c>
      <c r="Q48">
        <v>0</v>
      </c>
    </row>
    <row r="49" spans="1:17" x14ac:dyDescent="0.3">
      <c r="A49">
        <v>48</v>
      </c>
      <c r="B49" t="s">
        <v>17</v>
      </c>
      <c r="C49">
        <f t="shared" si="0"/>
        <v>0</v>
      </c>
      <c r="D49">
        <f t="shared" si="1"/>
        <v>1</v>
      </c>
      <c r="E49">
        <f t="shared" si="2"/>
        <v>0</v>
      </c>
      <c r="F49">
        <f t="shared" si="3"/>
        <v>9</v>
      </c>
      <c r="G49">
        <f t="shared" si="4"/>
        <v>3</v>
      </c>
      <c r="H49">
        <f t="shared" si="5"/>
        <v>0</v>
      </c>
      <c r="I49" t="s">
        <v>17</v>
      </c>
      <c r="J49" t="s">
        <v>8</v>
      </c>
      <c r="K49" t="s">
        <v>13</v>
      </c>
      <c r="L49" t="s">
        <v>8</v>
      </c>
      <c r="M49">
        <v>9</v>
      </c>
      <c r="N49">
        <v>12</v>
      </c>
      <c r="P49">
        <v>1</v>
      </c>
      <c r="Q49">
        <v>0</v>
      </c>
    </row>
    <row r="50" spans="1:17" x14ac:dyDescent="0.3">
      <c r="A50">
        <v>49</v>
      </c>
      <c r="B50" t="s">
        <v>7</v>
      </c>
      <c r="C50">
        <f t="shared" si="0"/>
        <v>0</v>
      </c>
      <c r="D50">
        <f t="shared" si="1"/>
        <v>0</v>
      </c>
      <c r="E50">
        <f t="shared" si="2"/>
        <v>0</v>
      </c>
      <c r="F50">
        <f t="shared" si="3"/>
        <v>0</v>
      </c>
      <c r="G50">
        <f t="shared" si="4"/>
        <v>0</v>
      </c>
      <c r="H50">
        <f t="shared" si="5"/>
        <v>0</v>
      </c>
      <c r="I50" t="s">
        <v>7</v>
      </c>
      <c r="J50" t="s">
        <v>8</v>
      </c>
      <c r="K50" t="s">
        <v>8</v>
      </c>
      <c r="L50" t="s">
        <v>11</v>
      </c>
      <c r="P50">
        <v>0</v>
      </c>
      <c r="Q50">
        <v>0</v>
      </c>
    </row>
    <row r="51" spans="1:17" x14ac:dyDescent="0.3">
      <c r="A51">
        <v>50</v>
      </c>
      <c r="B51" t="s">
        <v>14</v>
      </c>
      <c r="C51">
        <f t="shared" si="0"/>
        <v>1</v>
      </c>
      <c r="D51">
        <f t="shared" si="1"/>
        <v>1</v>
      </c>
      <c r="E51">
        <f t="shared" si="2"/>
        <v>1</v>
      </c>
      <c r="F51">
        <f t="shared" si="3"/>
        <v>5</v>
      </c>
      <c r="G51">
        <f t="shared" si="4"/>
        <v>8</v>
      </c>
      <c r="H51">
        <f t="shared" si="5"/>
        <v>15</v>
      </c>
      <c r="I51" t="s">
        <v>14</v>
      </c>
      <c r="J51" t="s">
        <v>10</v>
      </c>
      <c r="K51" t="s">
        <v>13</v>
      </c>
      <c r="L51" t="s">
        <v>15</v>
      </c>
      <c r="M51">
        <v>5</v>
      </c>
      <c r="N51">
        <v>13</v>
      </c>
      <c r="O51">
        <v>28</v>
      </c>
      <c r="P51">
        <v>0</v>
      </c>
      <c r="Q51">
        <v>0</v>
      </c>
    </row>
    <row r="52" spans="1:17" x14ac:dyDescent="0.3">
      <c r="A52">
        <v>51</v>
      </c>
      <c r="B52" t="s">
        <v>17</v>
      </c>
      <c r="C52">
        <f t="shared" si="0"/>
        <v>0</v>
      </c>
      <c r="D52">
        <f t="shared" si="1"/>
        <v>1</v>
      </c>
      <c r="E52">
        <f t="shared" si="2"/>
        <v>0</v>
      </c>
      <c r="F52">
        <f t="shared" si="3"/>
        <v>13</v>
      </c>
      <c r="G52">
        <f t="shared" si="4"/>
        <v>13</v>
      </c>
      <c r="H52">
        <f t="shared" si="5"/>
        <v>0</v>
      </c>
      <c r="I52" t="s">
        <v>17</v>
      </c>
      <c r="J52" t="s">
        <v>8</v>
      </c>
      <c r="K52" t="s">
        <v>13</v>
      </c>
      <c r="L52" t="s">
        <v>11</v>
      </c>
      <c r="M52">
        <v>13</v>
      </c>
      <c r="N52">
        <v>26</v>
      </c>
      <c r="P52">
        <v>1</v>
      </c>
      <c r="Q52">
        <v>0</v>
      </c>
    </row>
    <row r="53" spans="1:17" x14ac:dyDescent="0.3">
      <c r="A53">
        <v>52</v>
      </c>
      <c r="B53" t="s">
        <v>12</v>
      </c>
      <c r="C53">
        <f t="shared" si="0"/>
        <v>1</v>
      </c>
      <c r="D53">
        <f t="shared" si="1"/>
        <v>1</v>
      </c>
      <c r="E53">
        <f t="shared" si="2"/>
        <v>0</v>
      </c>
      <c r="F53">
        <f t="shared" si="3"/>
        <v>10</v>
      </c>
      <c r="G53">
        <f t="shared" si="4"/>
        <v>8</v>
      </c>
      <c r="H53">
        <f t="shared" si="5"/>
        <v>11</v>
      </c>
      <c r="I53" t="s">
        <v>12</v>
      </c>
      <c r="J53" t="s">
        <v>10</v>
      </c>
      <c r="K53" t="s">
        <v>13</v>
      </c>
      <c r="L53" t="s">
        <v>11</v>
      </c>
      <c r="M53">
        <v>10</v>
      </c>
      <c r="N53">
        <v>18</v>
      </c>
      <c r="O53">
        <v>29</v>
      </c>
      <c r="P53">
        <v>1</v>
      </c>
      <c r="Q53">
        <v>0</v>
      </c>
    </row>
    <row r="54" spans="1:17" x14ac:dyDescent="0.3">
      <c r="A54">
        <v>53</v>
      </c>
      <c r="B54" t="s">
        <v>9</v>
      </c>
      <c r="C54">
        <f t="shared" si="0"/>
        <v>1</v>
      </c>
      <c r="D54">
        <f t="shared" si="1"/>
        <v>0</v>
      </c>
      <c r="E54">
        <f t="shared" si="2"/>
        <v>0</v>
      </c>
      <c r="F54">
        <f t="shared" si="3"/>
        <v>9</v>
      </c>
      <c r="G54">
        <f t="shared" si="4"/>
        <v>0</v>
      </c>
      <c r="H54">
        <f t="shared" si="5"/>
        <v>0</v>
      </c>
      <c r="I54" t="s">
        <v>9</v>
      </c>
      <c r="J54" t="s">
        <v>10</v>
      </c>
      <c r="K54" t="s">
        <v>8</v>
      </c>
      <c r="L54" t="s">
        <v>8</v>
      </c>
      <c r="M54">
        <v>9</v>
      </c>
      <c r="P54">
        <v>0</v>
      </c>
      <c r="Q54">
        <v>0</v>
      </c>
    </row>
    <row r="55" spans="1:17" x14ac:dyDescent="0.3">
      <c r="A55">
        <v>54</v>
      </c>
      <c r="B55" t="s">
        <v>17</v>
      </c>
      <c r="C55">
        <f t="shared" si="0"/>
        <v>0</v>
      </c>
      <c r="D55">
        <f t="shared" si="1"/>
        <v>1</v>
      </c>
      <c r="E55">
        <f t="shared" si="2"/>
        <v>0</v>
      </c>
      <c r="F55">
        <f t="shared" si="3"/>
        <v>4</v>
      </c>
      <c r="G55">
        <f t="shared" si="4"/>
        <v>7</v>
      </c>
      <c r="H55">
        <f t="shared" si="5"/>
        <v>0</v>
      </c>
      <c r="I55" t="s">
        <v>17</v>
      </c>
      <c r="J55" t="s">
        <v>8</v>
      </c>
      <c r="K55" t="s">
        <v>13</v>
      </c>
      <c r="L55" t="s">
        <v>8</v>
      </c>
      <c r="M55">
        <v>4</v>
      </c>
      <c r="N55">
        <v>11</v>
      </c>
      <c r="P55">
        <v>0</v>
      </c>
      <c r="Q55">
        <v>0</v>
      </c>
    </row>
    <row r="56" spans="1:17" x14ac:dyDescent="0.3">
      <c r="A56">
        <v>55</v>
      </c>
      <c r="B56" t="s">
        <v>7</v>
      </c>
      <c r="C56">
        <f t="shared" si="0"/>
        <v>0</v>
      </c>
      <c r="D56">
        <f t="shared" si="1"/>
        <v>0</v>
      </c>
      <c r="E56">
        <f t="shared" si="2"/>
        <v>0</v>
      </c>
      <c r="F56">
        <f t="shared" si="3"/>
        <v>0</v>
      </c>
      <c r="G56">
        <f t="shared" si="4"/>
        <v>0</v>
      </c>
      <c r="H56">
        <f t="shared" si="5"/>
        <v>0</v>
      </c>
      <c r="I56" t="s">
        <v>7</v>
      </c>
      <c r="J56" t="s">
        <v>8</v>
      </c>
      <c r="K56" t="s">
        <v>8</v>
      </c>
      <c r="L56" t="s">
        <v>8</v>
      </c>
      <c r="P56">
        <v>0</v>
      </c>
      <c r="Q56">
        <v>0</v>
      </c>
    </row>
    <row r="57" spans="1:17" x14ac:dyDescent="0.3">
      <c r="A57">
        <v>56</v>
      </c>
      <c r="B57" t="s">
        <v>7</v>
      </c>
      <c r="C57">
        <f t="shared" si="0"/>
        <v>0</v>
      </c>
      <c r="D57">
        <f t="shared" si="1"/>
        <v>0</v>
      </c>
      <c r="E57">
        <f t="shared" si="2"/>
        <v>0</v>
      </c>
      <c r="F57">
        <f t="shared" si="3"/>
        <v>0</v>
      </c>
      <c r="G57">
        <f t="shared" si="4"/>
        <v>0</v>
      </c>
      <c r="H57">
        <f t="shared" si="5"/>
        <v>0</v>
      </c>
      <c r="I57" t="s">
        <v>7</v>
      </c>
      <c r="J57" t="s">
        <v>8</v>
      </c>
      <c r="K57" t="s">
        <v>8</v>
      </c>
      <c r="L57" t="s">
        <v>11</v>
      </c>
      <c r="P57">
        <v>1</v>
      </c>
      <c r="Q57">
        <v>0</v>
      </c>
    </row>
    <row r="58" spans="1:17" x14ac:dyDescent="0.3">
      <c r="A58">
        <v>57</v>
      </c>
      <c r="B58" t="s">
        <v>17</v>
      </c>
      <c r="C58">
        <f t="shared" si="0"/>
        <v>0</v>
      </c>
      <c r="D58">
        <f t="shared" si="1"/>
        <v>1</v>
      </c>
      <c r="E58">
        <f t="shared" si="2"/>
        <v>0</v>
      </c>
      <c r="F58">
        <f t="shared" si="3"/>
        <v>6</v>
      </c>
      <c r="G58">
        <f t="shared" si="4"/>
        <v>8</v>
      </c>
      <c r="H58">
        <f t="shared" si="5"/>
        <v>0</v>
      </c>
      <c r="I58" t="s">
        <v>17</v>
      </c>
      <c r="J58" t="s">
        <v>8</v>
      </c>
      <c r="K58" t="s">
        <v>13</v>
      </c>
      <c r="L58" t="s">
        <v>8</v>
      </c>
      <c r="M58">
        <v>6</v>
      </c>
      <c r="N58">
        <v>14</v>
      </c>
      <c r="P58">
        <v>1</v>
      </c>
      <c r="Q58">
        <v>0</v>
      </c>
    </row>
  </sheetData>
  <phoneticPr fontId="1" type="noConversion"/>
  <conditionalFormatting sqref="F2:H58">
    <cfRule type="colorScale" priority="1">
      <colorScale>
        <cfvo type="num" val="0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</dc:creator>
  <cp:lastModifiedBy>Лев Скотчин</cp:lastModifiedBy>
  <dcterms:created xsi:type="dcterms:W3CDTF">2015-06-05T18:19:34Z</dcterms:created>
  <dcterms:modified xsi:type="dcterms:W3CDTF">2026-05-24T22:58:40Z</dcterms:modified>
</cp:coreProperties>
</file>